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zenelnahla/Desktop/"/>
    </mc:Choice>
  </mc:AlternateContent>
  <xr:revisionPtr revIDLastSave="0" documentId="13_ncr:1_{953D80BD-7B5C-B34C-9A01-F70AE9B977FE}" xr6:coauthVersionLast="47" xr6:coauthVersionMax="47" xr10:uidLastSave="{00000000-0000-0000-0000-000000000000}"/>
  <bookViews>
    <workbookView xWindow="0" yWindow="1200" windowWidth="28040" windowHeight="17180" xr2:uid="{939E2F63-55F2-5040-8EF3-9B8F382D797F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6" i="1" l="1" a="1"/>
  <c r="B16" i="1" s="1"/>
  <c r="B19" i="1" a="1"/>
  <c r="B19" i="1" s="1"/>
  <c r="B15" i="1" a="1"/>
  <c r="B15" i="1" s="1"/>
  <c r="B9" i="1" a="1"/>
  <c r="B9" i="1" s="1"/>
  <c r="B24" i="1" l="1"/>
</calcChain>
</file>

<file path=xl/sharedStrings.xml><?xml version="1.0" encoding="utf-8"?>
<sst xmlns="http://schemas.openxmlformats.org/spreadsheetml/2006/main" count="37" uniqueCount="33">
  <si>
    <t>East Port Said National University</t>
  </si>
  <si>
    <t>Faculty of Engineering</t>
  </si>
  <si>
    <t xml:space="preserve">Artificial Intelligence &amp;Machine Learning Engineering Program </t>
  </si>
  <si>
    <t>2nd Level (1st Term 2026-2027)</t>
  </si>
  <si>
    <t>Registeration Form</t>
  </si>
  <si>
    <t>1st Term
2026-2027</t>
  </si>
  <si>
    <t>Academic Year  :</t>
  </si>
  <si>
    <t>Student's Name   :</t>
  </si>
  <si>
    <t xml:space="preserve">Student's  ID      : </t>
  </si>
  <si>
    <t>Registration Date :</t>
  </si>
  <si>
    <t>Fall</t>
  </si>
  <si>
    <t>Semester             :</t>
  </si>
  <si>
    <t>CGPA:</t>
  </si>
  <si>
    <t>Semester GPA      :</t>
  </si>
  <si>
    <t>No. of Warnings</t>
  </si>
  <si>
    <t>Registeration</t>
  </si>
  <si>
    <t>Prerequisite</t>
  </si>
  <si>
    <t>CHr</t>
  </si>
  <si>
    <t xml:space="preserve">Course </t>
  </si>
  <si>
    <t>Result</t>
  </si>
  <si>
    <t>Course Title</t>
  </si>
  <si>
    <t>Second level Courses</t>
  </si>
  <si>
    <t>EPM 213: Electronics &amp; Digital Circuits</t>
  </si>
  <si>
    <t>CCE 112: Computer Programming 2</t>
  </si>
  <si>
    <t>CCE 211: Data Structures &amp; Algorithms</t>
  </si>
  <si>
    <t>Other Courses</t>
  </si>
  <si>
    <t>EPM 116: Electrical Circuits &amp; Measurements 1</t>
  </si>
  <si>
    <t>Total Credit Hour Registered</t>
  </si>
  <si>
    <t>Students Affairs</t>
  </si>
  <si>
    <t>Student signature</t>
  </si>
  <si>
    <t>Program Director</t>
  </si>
  <si>
    <t>Dr. Asmaa Rady Ahmed</t>
  </si>
  <si>
    <t>name 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</si>
</sst>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sz val="11"/>
      <color theme="1"/>
      <name val="Aptos Narrow"/>
    </font>
    <font>
      <sz val="14"/>
      <color theme="1"/>
      <name val="Calibri"/>
      <family val="2"/>
    </font>
    <font>
      <b/>
      <sz val="14"/>
      <color theme="1"/>
      <name val="Calibri"/>
      <family val="2"/>
    </font>
    <font>
      <b/>
      <u/>
      <sz val="14"/>
      <color theme="1"/>
      <name val="Calibri"/>
      <family val="2"/>
    </font>
    <font>
      <b/>
      <sz val="14"/>
      <color rgb="FF0070C0"/>
      <name val="Calibri"/>
      <family val="2"/>
    </font>
    <font>
      <sz val="11"/>
      <name val="Aptos Narrow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5C5"/>
        <bgColor rgb="FFFFC5C5"/>
      </patternFill>
    </fill>
    <fill>
      <patternFill patternType="solid">
        <fgColor rgb="FFD8D8D8"/>
        <bgColor rgb="FFD8D8D8"/>
      </patternFill>
    </fill>
  </fills>
  <borders count="1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horizontal="center" readingOrder="1"/>
    </xf>
    <xf numFmtId="0" fontId="2" fillId="0" borderId="0" xfId="0" applyFont="1" applyAlignment="1">
      <alignment horizontal="center" readingOrder="1"/>
    </xf>
    <xf numFmtId="0" fontId="3" fillId="0" borderId="1" xfId="0" applyFont="1" applyBorder="1" applyAlignment="1">
      <alignment horizontal="center" vertical="center" wrapText="1" readingOrder="1"/>
    </xf>
    <xf numFmtId="0" fontId="5" fillId="0" borderId="1" xfId="0" applyFont="1" applyBorder="1" applyAlignment="1">
      <alignment horizontal="center" vertical="center" wrapText="1" readingOrder="1"/>
    </xf>
    <xf numFmtId="0" fontId="3" fillId="3" borderId="8" xfId="0" applyFont="1" applyFill="1" applyBorder="1" applyAlignment="1">
      <alignment horizontal="center" vertical="center" wrapText="1" readingOrder="1"/>
    </xf>
    <xf numFmtId="0" fontId="3" fillId="0" borderId="8" xfId="0" applyFont="1" applyBorder="1" applyAlignment="1">
      <alignment horizontal="center" vertical="center" wrapText="1" readingOrder="1"/>
    </xf>
    <xf numFmtId="0" fontId="8" fillId="0" borderId="8" xfId="0" applyFont="1" applyBorder="1" applyAlignment="1">
      <alignment horizontal="center" vertical="center" wrapText="1" readingOrder="1"/>
    </xf>
    <xf numFmtId="0" fontId="8" fillId="0" borderId="8" xfId="0" applyFont="1" applyBorder="1" applyAlignment="1">
      <alignment horizontal="left" vertical="center" wrapText="1" readingOrder="1"/>
    </xf>
    <xf numFmtId="0" fontId="2" fillId="0" borderId="8" xfId="0" applyFont="1" applyBorder="1" applyAlignment="1">
      <alignment horizontal="center" vertical="center" wrapText="1" readingOrder="1"/>
    </xf>
    <xf numFmtId="0" fontId="3" fillId="0" borderId="0" xfId="0" applyFont="1" applyAlignment="1">
      <alignment horizontal="center" vertical="center" wrapText="1" readingOrder="1"/>
    </xf>
    <xf numFmtId="0" fontId="5" fillId="0" borderId="2" xfId="0" applyFont="1" applyBorder="1" applyAlignment="1">
      <alignment horizontal="center" vertical="center" wrapText="1" readingOrder="1"/>
    </xf>
    <xf numFmtId="0" fontId="6" fillId="0" borderId="3" xfId="0" applyFont="1" applyBorder="1"/>
    <xf numFmtId="0" fontId="6" fillId="0" borderId="4" xfId="0" applyFont="1" applyBorder="1"/>
    <xf numFmtId="0" fontId="3" fillId="3" borderId="5" xfId="0" applyFont="1" applyFill="1" applyBorder="1" applyAlignment="1">
      <alignment horizontal="center" vertical="center" wrapText="1" readingOrder="1"/>
    </xf>
    <xf numFmtId="0" fontId="3" fillId="3" borderId="6" xfId="0" applyFont="1" applyFill="1" applyBorder="1" applyAlignment="1">
      <alignment horizontal="center" vertical="center" wrapText="1" readingOrder="1"/>
    </xf>
    <xf numFmtId="0" fontId="3" fillId="3" borderId="7" xfId="0" applyFont="1" applyFill="1" applyBorder="1" applyAlignment="1">
      <alignment horizontal="center" vertical="center" wrapText="1" readingOrder="1"/>
    </xf>
    <xf numFmtId="0" fontId="8" fillId="0" borderId="5" xfId="0" applyFont="1" applyBorder="1" applyAlignment="1">
      <alignment horizontal="left" vertical="center" readingOrder="1"/>
    </xf>
    <xf numFmtId="0" fontId="8" fillId="0" borderId="7" xfId="0" applyFont="1" applyBorder="1" applyAlignment="1">
      <alignment horizontal="left" vertical="center" readingOrder="1"/>
    </xf>
    <xf numFmtId="0" fontId="3" fillId="0" borderId="0" xfId="0" applyFont="1" applyAlignment="1">
      <alignment horizontal="center"/>
    </xf>
    <xf numFmtId="0" fontId="0" fillId="0" borderId="0" xfId="0"/>
    <xf numFmtId="0" fontId="4" fillId="0" borderId="0" xfId="0" applyFont="1" applyAlignment="1">
      <alignment horizontal="center"/>
    </xf>
    <xf numFmtId="0" fontId="3" fillId="0" borderId="5" xfId="0" applyFont="1" applyBorder="1" applyAlignment="1">
      <alignment horizontal="center" vertical="center" wrapText="1" readingOrder="1"/>
    </xf>
    <xf numFmtId="0" fontId="6" fillId="0" borderId="7" xfId="0" applyFont="1" applyBorder="1"/>
    <xf numFmtId="0" fontId="3" fillId="0" borderId="9" xfId="0" applyFont="1" applyBorder="1" applyAlignment="1">
      <alignment horizontal="center" vertical="center" textRotation="90" wrapText="1" readingOrder="1"/>
    </xf>
    <xf numFmtId="0" fontId="6" fillId="0" borderId="12" xfId="0" applyFont="1" applyBorder="1"/>
    <xf numFmtId="0" fontId="6" fillId="0" borderId="13" xfId="0" applyFont="1" applyBorder="1"/>
    <xf numFmtId="0" fontId="8" fillId="0" borderId="10" xfId="0" applyFont="1" applyBorder="1" applyAlignment="1">
      <alignment horizontal="left" vertical="center" readingOrder="1"/>
    </xf>
    <xf numFmtId="0" fontId="6" fillId="0" borderId="11" xfId="0" applyFont="1" applyBorder="1"/>
    <xf numFmtId="0" fontId="2" fillId="0" borderId="2" xfId="0" applyFont="1" applyBorder="1" applyAlignment="1">
      <alignment horizontal="center" vertical="center" wrapText="1" readingOrder="1"/>
    </xf>
    <xf numFmtId="0" fontId="3" fillId="2" borderId="2" xfId="0" applyFont="1" applyFill="1" applyBorder="1" applyAlignment="1">
      <alignment horizontal="center" vertical="center" wrapText="1" readingOrder="1"/>
    </xf>
    <xf numFmtId="0" fontId="3" fillId="2" borderId="2" xfId="0" applyFont="1" applyFill="1" applyBorder="1" applyAlignment="1">
      <alignment horizontal="left" vertical="center" wrapText="1" readingOrder="1"/>
    </xf>
    <xf numFmtId="0" fontId="7" fillId="3" borderId="5" xfId="0" applyFont="1" applyFill="1" applyBorder="1" applyAlignment="1">
      <alignment horizontal="center" vertical="center" wrapText="1" readingOrder="1"/>
    </xf>
    <xf numFmtId="0" fontId="6" fillId="0" borderId="6" xfId="0" applyFont="1" applyBorder="1"/>
    <xf numFmtId="0" fontId="2" fillId="0" borderId="5" xfId="0" applyFont="1" applyBorder="1" applyAlignment="1">
      <alignment horizontal="center" vertical="center" wrapText="1" readingOrder="1"/>
    </xf>
    <xf numFmtId="0" fontId="8" fillId="0" borderId="10" xfId="0" applyFont="1" applyBorder="1" applyAlignment="1">
      <alignment horizontal="center" vertical="center" readingOrder="1"/>
    </xf>
    <xf numFmtId="0" fontId="8" fillId="0" borderId="14" xfId="0" applyFont="1" applyBorder="1" applyAlignment="1">
      <alignment horizontal="center" vertical="center" readingOrder="1"/>
    </xf>
    <xf numFmtId="0" fontId="6" fillId="0" borderId="15" xfId="0" applyFont="1" applyBorder="1"/>
    <xf numFmtId="0" fontId="3" fillId="0" borderId="0" xfId="0" applyFont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104775</xdr:colOff>
      <xdr:row>0</xdr:row>
      <xdr:rowOff>209550</xdr:rowOff>
    </xdr:from>
    <xdr:ext cx="990600" cy="781050"/>
    <xdr:pic>
      <xdr:nvPicPr>
        <xdr:cNvPr id="6" name="image2.jpg">
          <a:extLst>
            <a:ext uri="{FF2B5EF4-FFF2-40B4-BE49-F238E27FC236}">
              <a16:creationId xmlns:a16="http://schemas.microsoft.com/office/drawing/2014/main" id="{55B09030-AA3E-D042-96A3-C2A80873B82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829429225" y="171450"/>
          <a:ext cx="990600" cy="781050"/>
        </a:xfrm>
        <a:prstGeom prst="rect">
          <a:avLst/>
        </a:prstGeom>
        <a:noFill/>
      </xdr:spPr>
    </xdr:pic>
    <xdr:clientData fLocksWithSheet="0"/>
  </xdr:oneCellAnchor>
  <xdr:oneCellAnchor>
    <xdr:from>
      <xdr:col>6</xdr:col>
      <xdr:colOff>419100</xdr:colOff>
      <xdr:row>1</xdr:row>
      <xdr:rowOff>9525</xdr:rowOff>
    </xdr:from>
    <xdr:ext cx="876300" cy="828675"/>
    <xdr:pic>
      <xdr:nvPicPr>
        <xdr:cNvPr id="7" name="image1.jpg" descr="logo.jpg">
          <a:extLst>
            <a:ext uri="{FF2B5EF4-FFF2-40B4-BE49-F238E27FC236}">
              <a16:creationId xmlns:a16="http://schemas.microsoft.com/office/drawing/2014/main" id="{F4FB32CC-6E5F-9142-BF08-469EEA8EFA4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5819894700" y="187325"/>
          <a:ext cx="876300" cy="828675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ownloads/&#1578;&#1587;&#1580;&#1610;&#1604;&#1575;&#1578;%20&#1575;&#1604;&#1578;&#1585;&#1605;%20&#1575;&#1604;&#1575;&#1608;&#1604;%20&#1584;&#1603;&#1575;&#1569;-&#1578;&#1588;&#1610;&#1610;&#1583;%20&#1593;&#1575;&#1605;%20&#1580;&#1575;&#1605;&#1593;&#1610;-v2-%202026-2027.xlsx" TargetMode="External"/><Relationship Id="rId2" Type="http://schemas.openxmlformats.org/officeDocument/2006/relationships/externalLinkPath" Target="/Users/mazenelnahla/Downloads/&#1578;&#1587;&#1580;&#1610;&#1604;&#1575;&#1578;%20&#1575;&#1604;&#1578;&#1585;&#1605;%20&#1575;&#1604;&#1575;&#1608;&#1604;%20&#1584;&#1603;&#1575;&#1569;-&#1578;&#1588;&#1610;&#1610;&#1583;%20&#1593;&#1575;&#1605;%20&#1580;&#1575;&#1605;&#1593;&#1610;-v2-%202026-2027.xlsx" TargetMode="External"/><Relationship Id="rId1" Type="http://schemas.openxmlformats.org/officeDocument/2006/relationships/externalLinkPath" Target="/Users/mazenelnahla/Downloads/&#1578;&#1587;&#1580;&#1610;&#1604;&#1575;&#1578;%20&#1575;&#1604;&#1578;&#1585;&#1605;%20&#1575;&#1604;&#1575;&#1608;&#1604;%20&#1584;&#1603;&#1575;&#1569;-&#1578;&#1588;&#1610;&#1610;&#1583;%20&#1593;&#1575;&#1605;%20&#1580;&#1575;&#1605;&#1593;&#1610;-v2-%202026-202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I Subjects"/>
      <sheetName val="1st AI-Course Tree"/>
      <sheetName val="1st AI-form"/>
      <sheetName val="1st AI-Print"/>
      <sheetName val="2nd AI-Course Tree"/>
      <sheetName val="2nd AI-form"/>
      <sheetName val="2nd AI-Print"/>
      <sheetName val="3rd-Stu. Names"/>
      <sheetName val="3rd AI-Course Tree"/>
      <sheetName val="3rd AI-Form"/>
      <sheetName val="ميكاترونيكس طباعة "/>
      <sheetName val="تشييد ثالثة"/>
      <sheetName val="CEP Subjects"/>
      <sheetName val="SHEET#3CEP "/>
      <sheetName val="3rd AI-Print"/>
    </sheetNames>
    <sheetDataSet>
      <sheetData sheetId="0">
        <row r="8">
          <cell r="G8">
            <v>3</v>
          </cell>
          <cell r="H8" t="str">
            <v>BSC 011: Mathematics I</v>
          </cell>
        </row>
        <row r="9">
          <cell r="G9">
            <v>3</v>
          </cell>
          <cell r="H9" t="str">
            <v>BSC 031: Physics I</v>
          </cell>
        </row>
        <row r="10">
          <cell r="G10">
            <v>3</v>
          </cell>
          <cell r="H10" t="str">
            <v>BSC 021: Mechanics I</v>
          </cell>
        </row>
        <row r="11">
          <cell r="G11">
            <v>3</v>
          </cell>
          <cell r="H11" t="str">
            <v>BSC 041: Chemical Engineering</v>
          </cell>
        </row>
        <row r="12">
          <cell r="G12">
            <v>3</v>
          </cell>
          <cell r="H12" t="str">
            <v>PRD 031: Engineering Drawing and Projection</v>
          </cell>
        </row>
        <row r="13">
          <cell r="G13">
            <v>1</v>
          </cell>
          <cell r="H13" t="str">
            <v>GUR 0C1: Law and Human Rights</v>
          </cell>
        </row>
        <row r="14">
          <cell r="G14">
            <v>3</v>
          </cell>
          <cell r="H14" t="str">
            <v>BSC 012: Mathematics II</v>
          </cell>
        </row>
        <row r="15">
          <cell r="G15">
            <v>3</v>
          </cell>
          <cell r="H15" t="str">
            <v>BSC 032: Physics II</v>
          </cell>
        </row>
        <row r="16">
          <cell r="G16">
            <v>3</v>
          </cell>
          <cell r="H16" t="str">
            <v>BSC 022: Mechanics II</v>
          </cell>
        </row>
        <row r="17">
          <cell r="G17">
            <v>3</v>
          </cell>
          <cell r="H17" t="str">
            <v>PRD 041: Production Technology</v>
          </cell>
        </row>
        <row r="18">
          <cell r="G18">
            <v>3</v>
          </cell>
          <cell r="H18" t="str">
            <v>CCE 031: Introduction to Computer Science</v>
          </cell>
        </row>
        <row r="19">
          <cell r="G19">
            <v>2</v>
          </cell>
          <cell r="H19" t="str">
            <v>GUR 0C2: English Language 1</v>
          </cell>
        </row>
        <row r="20">
          <cell r="G20">
            <v>3</v>
          </cell>
          <cell r="H20" t="str">
            <v>EPM 113: Electromagnetic Fields</v>
          </cell>
        </row>
        <row r="21">
          <cell r="G21">
            <v>3</v>
          </cell>
          <cell r="H21" t="str">
            <v>EPM 116: Electrical Circuits &amp; Measurements 1</v>
          </cell>
        </row>
        <row r="22">
          <cell r="G22">
            <v>3</v>
          </cell>
          <cell r="H22" t="str">
            <v>CCE 141: Logic Design 1</v>
          </cell>
        </row>
        <row r="23">
          <cell r="G23">
            <v>3</v>
          </cell>
          <cell r="H23" t="str">
            <v>CCE 111: Computer Programming 1</v>
          </cell>
        </row>
        <row r="24">
          <cell r="G24">
            <v>3</v>
          </cell>
          <cell r="H24" t="str">
            <v>BSC 111: Mathematics III</v>
          </cell>
        </row>
        <row r="25">
          <cell r="G25">
            <v>2</v>
          </cell>
          <cell r="H25" t="str">
            <v>GUR 1C1: Computer Skills</v>
          </cell>
        </row>
        <row r="26">
          <cell r="G26">
            <v>3</v>
          </cell>
          <cell r="H26" t="str">
            <v>BSC 112: Statistics &amp; Numerical Analysis</v>
          </cell>
        </row>
        <row r="27">
          <cell r="G27">
            <v>3</v>
          </cell>
          <cell r="H27" t="str">
            <v>EPM 117: Electrical Circuits &amp; Measurements 2</v>
          </cell>
        </row>
        <row r="28">
          <cell r="G28">
            <v>3</v>
          </cell>
          <cell r="H28" t="str">
            <v>CCE 142: Logic Design 2</v>
          </cell>
        </row>
        <row r="29">
          <cell r="G29">
            <v>3</v>
          </cell>
          <cell r="H29" t="str">
            <v>CCE 112: Computer Programming 2</v>
          </cell>
        </row>
        <row r="30">
          <cell r="G30">
            <v>3</v>
          </cell>
          <cell r="H30" t="str">
            <v>CCE 131: Mathematics for Machine Learning</v>
          </cell>
        </row>
        <row r="31">
          <cell r="G31">
            <v>2</v>
          </cell>
          <cell r="H31" t="str">
            <v>GUR 1C2: University Requirement (4)</v>
          </cell>
        </row>
        <row r="32">
          <cell r="G32">
            <v>3</v>
          </cell>
          <cell r="H32" t="str">
            <v>EPM 213: Electronics &amp; Digital Circuits</v>
          </cell>
        </row>
        <row r="33">
          <cell r="G33">
            <v>3</v>
          </cell>
          <cell r="H33" t="str">
            <v>CCE 221: Control Systems Engineering 1</v>
          </cell>
        </row>
        <row r="34">
          <cell r="G34">
            <v>3</v>
          </cell>
          <cell r="H34" t="str">
            <v>CCE 231: Machine Learning 1</v>
          </cell>
        </row>
        <row r="35">
          <cell r="G35">
            <v>3</v>
          </cell>
          <cell r="H35" t="str">
            <v>CCE 211: Data Structures &amp; Algorithms</v>
          </cell>
        </row>
        <row r="36">
          <cell r="G36">
            <v>2</v>
          </cell>
          <cell r="H36" t="str">
            <v>GUR 2C1: Research and Analysis Skills</v>
          </cell>
        </row>
        <row r="37">
          <cell r="G37">
            <v>2</v>
          </cell>
          <cell r="H37" t="str">
            <v>GUR 2E1: Presentation Skills</v>
          </cell>
        </row>
        <row r="38">
          <cell r="G38">
            <v>1</v>
          </cell>
          <cell r="H38" t="str">
            <v>GFR 2XX: Summer Training (1)</v>
          </cell>
        </row>
        <row r="39">
          <cell r="G39">
            <v>3</v>
          </cell>
          <cell r="H39" t="str">
            <v>CCE 241: Computer Architecture &amp; Organization</v>
          </cell>
        </row>
        <row r="40">
          <cell r="G40">
            <v>3</v>
          </cell>
          <cell r="H40" t="str">
            <v>CCE 222: Control Systems Engineering 2</v>
          </cell>
        </row>
        <row r="41">
          <cell r="G41">
            <v>3</v>
          </cell>
          <cell r="H41" t="str">
            <v>CCE 232: Machine Learning 2</v>
          </cell>
        </row>
        <row r="42">
          <cell r="G42">
            <v>3</v>
          </cell>
          <cell r="H42" t="str">
            <v>CCE 242: Digital Signal Processing</v>
          </cell>
        </row>
        <row r="43">
          <cell r="G43">
            <v>3</v>
          </cell>
          <cell r="H43" t="str">
            <v>CCE 212: Database Systems</v>
          </cell>
        </row>
        <row r="44">
          <cell r="G44">
            <v>2</v>
          </cell>
          <cell r="H44" t="str">
            <v>GUR 2E2: Mangement and Marketing</v>
          </cell>
        </row>
      </sheetData>
      <sheetData sheetId="1"/>
      <sheetData sheetId="2"/>
      <sheetData sheetId="3"/>
      <sheetData sheetId="4"/>
      <sheetData sheetId="5"/>
      <sheetData sheetId="6">
        <row r="9">
          <cell r="D9">
            <v>24130007</v>
          </cell>
          <cell r="E9" t="str">
            <v>احمد اسامه عبد الرحمن ابراهيم حسن</v>
          </cell>
        </row>
        <row r="10">
          <cell r="D10">
            <v>24130012</v>
          </cell>
          <cell r="E10" t="str">
            <v>احمد سمير محمد السيد سعيد</v>
          </cell>
        </row>
        <row r="11">
          <cell r="D11">
            <v>24130014</v>
          </cell>
          <cell r="E11" t="str">
            <v>احمد طارق محمد حلمى محمد الروبى</v>
          </cell>
        </row>
        <row r="12">
          <cell r="D12">
            <v>24130019</v>
          </cell>
          <cell r="E12" t="str">
            <v>احمد عماد محمد جاد</v>
          </cell>
        </row>
        <row r="13">
          <cell r="D13">
            <v>24130021</v>
          </cell>
          <cell r="E13" t="str">
            <v>احمد محمود هانئ محمد فهمى</v>
          </cell>
        </row>
        <row r="14">
          <cell r="D14">
            <v>24130030</v>
          </cell>
          <cell r="E14" t="str">
            <v>المعتز بالله خالد رمضان طه محمد الكفراوي</v>
          </cell>
        </row>
        <row r="15">
          <cell r="D15">
            <v>24130033</v>
          </cell>
          <cell r="E15" t="str">
            <v>اواب عاطف مهدي محمد الجزار</v>
          </cell>
        </row>
        <row r="16">
          <cell r="D16">
            <v>24130034</v>
          </cell>
          <cell r="E16" t="str">
            <v>باسل السيد محمد احمد سليمان</v>
          </cell>
        </row>
        <row r="17">
          <cell r="D17">
            <v>24130037</v>
          </cell>
          <cell r="E17" t="str">
            <v>بسمله محمد احمد محمد المر</v>
          </cell>
        </row>
        <row r="18">
          <cell r="D18">
            <v>24130038</v>
          </cell>
          <cell r="E18" t="str">
            <v>بسمه عبد الناصر عبد النعيم ابراهيم السيد</v>
          </cell>
        </row>
        <row r="19">
          <cell r="D19">
            <v>24130041</v>
          </cell>
          <cell r="E19" t="str">
            <v>جنا احمد عبدالحفيظ سليم</v>
          </cell>
        </row>
        <row r="20">
          <cell r="D20">
            <v>24130042</v>
          </cell>
          <cell r="E20" t="str">
            <v>جنه محمد السيد محمد الصاوى</v>
          </cell>
        </row>
        <row r="21">
          <cell r="D21">
            <v>24130043</v>
          </cell>
          <cell r="E21" t="str">
            <v>جنى عثمان احمد احمد يوسف فياض</v>
          </cell>
        </row>
        <row r="22">
          <cell r="D22">
            <v>24130048</v>
          </cell>
          <cell r="E22" t="str">
            <v>داليا ابراهيم علي ابراهيم مطراوي</v>
          </cell>
        </row>
        <row r="23">
          <cell r="D23">
            <v>24130052</v>
          </cell>
          <cell r="E23" t="str">
            <v>روان خالد عبد الواحد محمد عبد الواحد</v>
          </cell>
        </row>
        <row r="24">
          <cell r="D24">
            <v>24130053</v>
          </cell>
          <cell r="E24" t="str">
            <v>روان رضا موسى اسماعيل الجوهري</v>
          </cell>
        </row>
        <row r="25">
          <cell r="D25">
            <v>24130054</v>
          </cell>
          <cell r="E25" t="str">
            <v>رولا محمد ابراهيم نعناعه</v>
          </cell>
        </row>
        <row r="26">
          <cell r="D26">
            <v>24130055</v>
          </cell>
          <cell r="E26" t="str">
            <v>ريان احمد المهدى محمد ضيف</v>
          </cell>
        </row>
        <row r="27">
          <cell r="D27">
            <v>24130057</v>
          </cell>
          <cell r="E27" t="str">
            <v>زياد ابراهيم السيد ابراهيم السيد</v>
          </cell>
        </row>
        <row r="28">
          <cell r="D28">
            <v>24130061</v>
          </cell>
          <cell r="E28" t="str">
            <v>زينب على احمد عبد الفتاح العبد</v>
          </cell>
        </row>
        <row r="29">
          <cell r="D29">
            <v>24130062</v>
          </cell>
          <cell r="E29" t="str">
            <v>سجود عاصم ديب محمد الرباعى</v>
          </cell>
        </row>
        <row r="30">
          <cell r="D30">
            <v>24130063</v>
          </cell>
          <cell r="E30" t="str">
            <v>سلامه رجب عبد الجواد محمد راضي</v>
          </cell>
        </row>
        <row r="31">
          <cell r="D31">
            <v>24130064</v>
          </cell>
          <cell r="E31" t="str">
            <v>سما فادى ابراهيم نجيب حنين</v>
          </cell>
        </row>
        <row r="32">
          <cell r="D32">
            <v>24130065</v>
          </cell>
          <cell r="E32" t="str">
            <v>سيف الدين احمد محمود محمد محمود صالح</v>
          </cell>
        </row>
        <row r="33">
          <cell r="D33">
            <v>24130068</v>
          </cell>
          <cell r="E33" t="str">
            <v>شهد امري حامد محمد غنيم</v>
          </cell>
        </row>
        <row r="34">
          <cell r="D34">
            <v>24130069</v>
          </cell>
          <cell r="E34" t="str">
            <v>شهد رجب عادل محمد احمد</v>
          </cell>
        </row>
        <row r="35">
          <cell r="D35">
            <v>24130080</v>
          </cell>
          <cell r="E35" t="str">
            <v>عبد الله الداودى محمد رمضان السايس</v>
          </cell>
        </row>
        <row r="36">
          <cell r="D36">
            <v>24130082</v>
          </cell>
          <cell r="E36" t="str">
            <v>عبد الله محمد جابر محمد السخرى</v>
          </cell>
        </row>
        <row r="37">
          <cell r="D37">
            <v>24130084</v>
          </cell>
          <cell r="E37" t="str">
            <v>عبد الملك السيد صديق محمد</v>
          </cell>
        </row>
        <row r="38">
          <cell r="D38">
            <v>24130085</v>
          </cell>
          <cell r="E38" t="str">
            <v>عدي احمد محمود محمود ابو زيد</v>
          </cell>
        </row>
        <row r="39">
          <cell r="D39">
            <v>24130086</v>
          </cell>
          <cell r="E39" t="str">
            <v>عز الدين محمد فاروق عبد العزيز عمر</v>
          </cell>
        </row>
        <row r="40">
          <cell r="D40">
            <v>24130089</v>
          </cell>
          <cell r="E40" t="str">
            <v>علي محمد على محمد احمد عبد الله</v>
          </cell>
        </row>
        <row r="41">
          <cell r="D41">
            <v>24130091</v>
          </cell>
          <cell r="E41" t="str">
            <v>عمر محمد سعد محمد خلف</v>
          </cell>
        </row>
        <row r="42">
          <cell r="D42">
            <v>24130096</v>
          </cell>
          <cell r="E42" t="str">
            <v>فارس محمد ابراهيم احمد ابراهيم الكحكى</v>
          </cell>
        </row>
        <row r="43">
          <cell r="D43">
            <v>24130102</v>
          </cell>
          <cell r="E43" t="str">
            <v>لوجينا محمد حسين احمد على</v>
          </cell>
        </row>
        <row r="44">
          <cell r="D44">
            <v>24130105</v>
          </cell>
          <cell r="E44" t="str">
            <v>مجدي اشرف عبدالمنعم محمد على البلتاجى</v>
          </cell>
        </row>
        <row r="45">
          <cell r="D45">
            <v>24130106</v>
          </cell>
          <cell r="E45" t="str">
            <v>محمد احمد احمد سليمان ضبيع</v>
          </cell>
        </row>
        <row r="46">
          <cell r="D46">
            <v>24130112</v>
          </cell>
          <cell r="E46" t="str">
            <v>محمد البدري محمود البدري ابو عكر</v>
          </cell>
        </row>
        <row r="47">
          <cell r="D47">
            <v>24130116</v>
          </cell>
          <cell r="E47" t="str">
            <v>محمد حسين محمد حسين</v>
          </cell>
        </row>
        <row r="48">
          <cell r="D48">
            <v>24130119</v>
          </cell>
          <cell r="E48" t="str">
            <v>محمد زكي عوض عبد الله السايس</v>
          </cell>
        </row>
        <row r="49">
          <cell r="D49">
            <v>24130122</v>
          </cell>
          <cell r="E49" t="str">
            <v>محمد شريف محمد شلبى</v>
          </cell>
        </row>
        <row r="50">
          <cell r="D50">
            <v>24130128</v>
          </cell>
          <cell r="E50" t="str">
            <v>محمد عزت فوزي عبد الجليل طلبه</v>
          </cell>
        </row>
        <row r="51">
          <cell r="D51">
            <v>24130129</v>
          </cell>
          <cell r="E51" t="str">
            <v>محمد على اسماعيل علي حلاوه</v>
          </cell>
        </row>
        <row r="52">
          <cell r="D52">
            <v>24130136</v>
          </cell>
          <cell r="E52" t="str">
            <v>محمد محمد على السيد حسب الله</v>
          </cell>
        </row>
        <row r="53">
          <cell r="D53">
            <v>24130140</v>
          </cell>
          <cell r="E53" t="str">
            <v>محمد وجيه نعيم عبدالمنعم تعلب</v>
          </cell>
        </row>
        <row r="54">
          <cell r="D54">
            <v>24130141</v>
          </cell>
          <cell r="E54" t="str">
            <v>محمد ياسر سيد الشاعر</v>
          </cell>
        </row>
        <row r="55">
          <cell r="D55">
            <v>24130145</v>
          </cell>
          <cell r="E55" t="str">
            <v>محمود محمد محمود احمد السيد</v>
          </cell>
        </row>
        <row r="56">
          <cell r="D56">
            <v>24130146</v>
          </cell>
          <cell r="E56" t="str">
            <v>محمود محمد محمود توفيق الطنطاوي</v>
          </cell>
        </row>
        <row r="57">
          <cell r="D57">
            <v>24130153</v>
          </cell>
          <cell r="E57" t="str">
            <v>معاذ بديع صبح عبده حجازى</v>
          </cell>
        </row>
        <row r="58">
          <cell r="D58">
            <v>24130156</v>
          </cell>
          <cell r="E58" t="str">
            <v>ملك مجدى احمد فؤاد محمد رسلان</v>
          </cell>
        </row>
        <row r="59">
          <cell r="D59">
            <v>24130160</v>
          </cell>
          <cell r="E59" t="str">
            <v>ندى محمد صبري احمد السيد</v>
          </cell>
        </row>
        <row r="60">
          <cell r="D60">
            <v>24130161</v>
          </cell>
          <cell r="E60" t="str">
            <v>نور احمد احمد ابراهيم درويش</v>
          </cell>
        </row>
        <row r="61">
          <cell r="D61">
            <v>24130163</v>
          </cell>
          <cell r="E61" t="str">
            <v>هنا وليد محمد محمد الفطايرى</v>
          </cell>
        </row>
        <row r="62">
          <cell r="D62">
            <v>24130167</v>
          </cell>
          <cell r="E62" t="str">
            <v>يوسف احمد غالب تك كوجن</v>
          </cell>
        </row>
        <row r="63">
          <cell r="D63">
            <v>24130171</v>
          </cell>
          <cell r="E63" t="str">
            <v>يوسف عزوز انيس احمد</v>
          </cell>
        </row>
        <row r="64">
          <cell r="D64">
            <v>24130172</v>
          </cell>
          <cell r="E64" t="str">
            <v>يوسف علاء سعيد محمود ابراهيم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BFC1B-334F-4E4E-9066-E791E185699D}">
  <dimension ref="A1:G30"/>
  <sheetViews>
    <sheetView rightToLeft="1" tabSelected="1" topLeftCell="A12" workbookViewId="0">
      <selection activeCell="E19" sqref="E19"/>
    </sheetView>
  </sheetViews>
  <sheetFormatPr baseColWidth="10" defaultRowHeight="16" x14ac:dyDescent="0.2"/>
  <cols>
    <col min="2" max="2" width="11.1640625" bestFit="1" customWidth="1"/>
    <col min="3" max="3" width="23.1640625" customWidth="1"/>
    <col min="4" max="4" width="22.5" customWidth="1"/>
    <col min="6" max="6" width="53.1640625" customWidth="1"/>
    <col min="7" max="7" width="20.6640625" customWidth="1"/>
  </cols>
  <sheetData>
    <row r="1" spans="1:7" ht="19" x14ac:dyDescent="0.25">
      <c r="A1" s="1"/>
      <c r="B1" s="2"/>
      <c r="C1" s="2"/>
      <c r="D1" s="2"/>
      <c r="E1" s="2"/>
      <c r="F1" s="2"/>
      <c r="G1" s="2"/>
    </row>
    <row r="2" spans="1:7" ht="19" x14ac:dyDescent="0.25">
      <c r="A2" s="1"/>
      <c r="B2" s="2"/>
      <c r="C2" s="19" t="s">
        <v>0</v>
      </c>
      <c r="D2" s="20"/>
      <c r="E2" s="20"/>
      <c r="F2" s="20"/>
      <c r="G2" s="2"/>
    </row>
    <row r="3" spans="1:7" ht="19" x14ac:dyDescent="0.25">
      <c r="A3" s="1"/>
      <c r="B3" s="2"/>
      <c r="C3" s="19" t="s">
        <v>1</v>
      </c>
      <c r="D3" s="20"/>
      <c r="E3" s="20"/>
      <c r="F3" s="20"/>
      <c r="G3" s="2"/>
    </row>
    <row r="4" spans="1:7" ht="19" x14ac:dyDescent="0.25">
      <c r="A4" s="1"/>
      <c r="B4" s="2"/>
      <c r="C4" s="19" t="s">
        <v>2</v>
      </c>
      <c r="D4" s="20"/>
      <c r="E4" s="20"/>
      <c r="F4" s="20"/>
      <c r="G4" s="2"/>
    </row>
    <row r="5" spans="1:7" ht="19" x14ac:dyDescent="0.25">
      <c r="A5" s="1"/>
      <c r="B5" s="2"/>
      <c r="C5" s="19" t="s">
        <v>3</v>
      </c>
      <c r="D5" s="20"/>
      <c r="E5" s="20"/>
      <c r="F5" s="20"/>
      <c r="G5" s="2"/>
    </row>
    <row r="6" spans="1:7" ht="19" x14ac:dyDescent="0.25">
      <c r="A6" s="1"/>
      <c r="B6" s="2"/>
      <c r="C6" s="21" t="s">
        <v>4</v>
      </c>
      <c r="D6" s="20"/>
      <c r="E6" s="20"/>
      <c r="F6" s="20"/>
      <c r="G6" s="2"/>
    </row>
    <row r="7" spans="1:7" ht="20" thickBot="1" x14ac:dyDescent="0.3">
      <c r="A7" s="1"/>
      <c r="B7" s="2"/>
      <c r="C7" s="2"/>
      <c r="D7" s="2"/>
      <c r="E7" s="2"/>
      <c r="F7" s="2"/>
      <c r="G7" s="2"/>
    </row>
    <row r="8" spans="1:7" ht="41" thickBot="1" x14ac:dyDescent="0.25">
      <c r="A8" s="1"/>
      <c r="B8" s="3" t="s">
        <v>5</v>
      </c>
      <c r="C8" s="3" t="s">
        <v>6</v>
      </c>
      <c r="D8" s="11" t="s">
        <v>32</v>
      </c>
      <c r="E8" s="12"/>
      <c r="F8" s="13"/>
      <c r="G8" s="3" t="s">
        <v>7</v>
      </c>
    </row>
    <row r="9" spans="1:7" ht="21" thickBot="1" x14ac:dyDescent="0.25">
      <c r="A9" s="1"/>
      <c r="B9" s="3" t="str">
        <f t="array" ref="B9">IFERROR(INDEX('[1]2nd AI-Print'!$D$9:$D$64, MATCH(D8, '[1]2nd AI-Print'!$E$9:$E$64, 0)), "")</f>
        <v/>
      </c>
      <c r="C9" s="3" t="s">
        <v>8</v>
      </c>
      <c r="D9" s="29"/>
      <c r="E9" s="12"/>
      <c r="F9" s="13"/>
      <c r="G9" s="3" t="s">
        <v>9</v>
      </c>
    </row>
    <row r="10" spans="1:7" ht="21" thickBot="1" x14ac:dyDescent="0.25">
      <c r="A10" s="1"/>
      <c r="B10" s="3" t="s">
        <v>10</v>
      </c>
      <c r="C10" s="3" t="s">
        <v>11</v>
      </c>
      <c r="D10" s="4"/>
      <c r="E10" s="3" t="s">
        <v>12</v>
      </c>
      <c r="F10" s="4"/>
      <c r="G10" s="3" t="s">
        <v>13</v>
      </c>
    </row>
    <row r="11" spans="1:7" ht="20" thickBot="1" x14ac:dyDescent="0.25">
      <c r="A11" s="1"/>
      <c r="B11" s="30"/>
      <c r="C11" s="12"/>
      <c r="D11" s="12"/>
      <c r="E11" s="13"/>
      <c r="F11" s="31" t="s">
        <v>14</v>
      </c>
      <c r="G11" s="13"/>
    </row>
    <row r="12" spans="1:7" ht="19" x14ac:dyDescent="0.25">
      <c r="A12" s="1"/>
      <c r="B12" s="2"/>
      <c r="C12" s="2"/>
      <c r="D12" s="2"/>
      <c r="E12" s="2"/>
      <c r="F12" s="2"/>
      <c r="G12" s="2"/>
    </row>
    <row r="13" spans="1:7" ht="19" x14ac:dyDescent="0.2">
      <c r="A13" s="1"/>
      <c r="B13" s="32" t="s">
        <v>15</v>
      </c>
      <c r="C13" s="33"/>
      <c r="D13" s="23"/>
      <c r="E13" s="32" t="s">
        <v>16</v>
      </c>
      <c r="F13" s="23"/>
      <c r="G13" s="5"/>
    </row>
    <row r="14" spans="1:7" ht="20" x14ac:dyDescent="0.2">
      <c r="A14" s="1"/>
      <c r="B14" s="6" t="s">
        <v>17</v>
      </c>
      <c r="C14" s="22" t="s">
        <v>18</v>
      </c>
      <c r="D14" s="23"/>
      <c r="E14" s="6" t="s">
        <v>19</v>
      </c>
      <c r="F14" s="6" t="s">
        <v>20</v>
      </c>
      <c r="G14" s="24" t="s">
        <v>21</v>
      </c>
    </row>
    <row r="15" spans="1:7" ht="19" x14ac:dyDescent="0.2">
      <c r="A15" s="1"/>
      <c r="B15" s="7">
        <f t="array" ref="B15">IFERROR(INDEX('[1]AI Subjects'!$G$8:$G$44, MATCH(C15, '[1]AI Subjects'!$H$8:$H$44, 0)), "")</f>
        <v>3</v>
      </c>
      <c r="C15" s="27" t="s">
        <v>22</v>
      </c>
      <c r="D15" s="28"/>
      <c r="E15" s="6"/>
      <c r="F15" s="8"/>
      <c r="G15" s="25"/>
    </row>
    <row r="16" spans="1:7" ht="20" x14ac:dyDescent="0.2">
      <c r="A16" s="1"/>
      <c r="B16" s="7">
        <f t="array" ref="B16">IFERROR(INDEX('[1]AI Subjects'!$G$8:$G$44, MATCH(C16, '[1]AI Subjects'!$H$8:$H$44, 0)), "")</f>
        <v>3</v>
      </c>
      <c r="C16" s="17" t="s">
        <v>24</v>
      </c>
      <c r="D16" s="18"/>
      <c r="E16" s="9" t="b">
        <v>1</v>
      </c>
      <c r="F16" s="8" t="s">
        <v>23</v>
      </c>
      <c r="G16" s="26"/>
    </row>
    <row r="17" spans="1:7" ht="19" x14ac:dyDescent="0.2">
      <c r="A17" s="1"/>
      <c r="B17" s="14" t="s">
        <v>25</v>
      </c>
      <c r="C17" s="15"/>
      <c r="D17" s="15"/>
      <c r="E17" s="15"/>
      <c r="F17" s="15"/>
      <c r="G17" s="16"/>
    </row>
    <row r="18" spans="1:7" ht="20" x14ac:dyDescent="0.2">
      <c r="A18" s="1"/>
      <c r="B18" s="6" t="s">
        <v>17</v>
      </c>
      <c r="C18" s="22" t="s">
        <v>18</v>
      </c>
      <c r="D18" s="23"/>
      <c r="E18" s="6" t="s">
        <v>19</v>
      </c>
      <c r="F18" s="22" t="s">
        <v>16</v>
      </c>
      <c r="G18" s="23"/>
    </row>
    <row r="19" spans="1:7" ht="19" x14ac:dyDescent="0.2">
      <c r="A19" s="1"/>
      <c r="B19" s="7">
        <f t="array" ref="B19">IFERROR(INDEX('[1]AI Subjects'!$G$8:$G$44, MATCH(C19, '[1]AI Subjects'!$H$8:$H$44, 0)), "")</f>
        <v>3</v>
      </c>
      <c r="C19" s="17" t="s">
        <v>26</v>
      </c>
      <c r="D19" s="23"/>
      <c r="E19" s="6"/>
      <c r="F19" s="34"/>
      <c r="G19" s="23"/>
    </row>
    <row r="20" spans="1:7" ht="19" x14ac:dyDescent="0.2">
      <c r="A20" s="1"/>
      <c r="B20" s="7"/>
      <c r="C20" s="27"/>
      <c r="D20" s="28"/>
      <c r="E20" s="6"/>
    </row>
    <row r="21" spans="1:7" ht="19" x14ac:dyDescent="0.2">
      <c r="A21" s="1"/>
      <c r="B21" s="7"/>
      <c r="C21" s="35"/>
      <c r="D21" s="28"/>
      <c r="E21" s="6"/>
      <c r="F21" s="34"/>
      <c r="G21" s="23"/>
    </row>
    <row r="22" spans="1:7" ht="19" x14ac:dyDescent="0.2">
      <c r="A22" s="1"/>
      <c r="B22" s="7"/>
      <c r="C22" s="36"/>
      <c r="D22" s="37"/>
      <c r="E22" s="6"/>
      <c r="F22" s="34"/>
      <c r="G22" s="23"/>
    </row>
    <row r="23" spans="1:7" ht="19" x14ac:dyDescent="0.2">
      <c r="A23" s="1"/>
      <c r="B23" s="7"/>
      <c r="C23" s="17"/>
      <c r="D23" s="23"/>
      <c r="E23" s="6"/>
      <c r="F23" s="34"/>
      <c r="G23" s="23"/>
    </row>
    <row r="24" spans="1:7" ht="19" x14ac:dyDescent="0.2">
      <c r="A24" s="1"/>
      <c r="B24" s="5">
        <f>SUM(B15:B16,B19:B23)</f>
        <v>9</v>
      </c>
      <c r="C24" s="14" t="s">
        <v>27</v>
      </c>
      <c r="D24" s="33"/>
      <c r="E24" s="33"/>
      <c r="F24" s="33"/>
      <c r="G24" s="23"/>
    </row>
    <row r="25" spans="1:7" ht="19" x14ac:dyDescent="0.25">
      <c r="A25" s="1"/>
      <c r="B25" s="2"/>
      <c r="C25" s="2"/>
      <c r="D25" s="2"/>
      <c r="E25" s="2"/>
      <c r="F25" s="2"/>
      <c r="G25" s="2"/>
    </row>
    <row r="26" spans="1:7" ht="20" x14ac:dyDescent="0.25">
      <c r="A26" s="1"/>
      <c r="B26" s="2"/>
      <c r="C26" s="10"/>
      <c r="D26" s="38" t="s">
        <v>28</v>
      </c>
      <c r="E26" s="20"/>
      <c r="F26" s="2"/>
      <c r="G26" s="10" t="s">
        <v>29</v>
      </c>
    </row>
    <row r="27" spans="1:7" ht="19" x14ac:dyDescent="0.25">
      <c r="A27" s="1"/>
      <c r="B27" s="2"/>
      <c r="C27" s="2"/>
      <c r="D27" s="38"/>
      <c r="E27" s="20"/>
      <c r="F27" s="2"/>
      <c r="G27" s="2"/>
    </row>
    <row r="28" spans="1:7" ht="19" x14ac:dyDescent="0.25">
      <c r="A28" s="1"/>
      <c r="B28" s="2"/>
      <c r="C28" s="2"/>
      <c r="D28" s="2"/>
      <c r="E28" s="2"/>
      <c r="F28" s="2"/>
      <c r="G28" s="2"/>
    </row>
    <row r="29" spans="1:7" ht="19" x14ac:dyDescent="0.25">
      <c r="A29" s="1"/>
      <c r="B29" s="38" t="s">
        <v>30</v>
      </c>
      <c r="C29" s="20"/>
      <c r="D29" s="2"/>
      <c r="E29" s="2"/>
      <c r="F29" s="2"/>
      <c r="G29" s="2"/>
    </row>
    <row r="30" spans="1:7" ht="19" x14ac:dyDescent="0.25">
      <c r="A30" s="1"/>
      <c r="B30" s="38" t="s">
        <v>31</v>
      </c>
      <c r="C30" s="20"/>
      <c r="D30" s="2"/>
      <c r="E30" s="2"/>
      <c r="F30" s="2"/>
      <c r="G30" s="2"/>
    </row>
  </sheetData>
  <mergeCells count="32">
    <mergeCell ref="C24:G24"/>
    <mergeCell ref="D26:E26"/>
    <mergeCell ref="D27:E27"/>
    <mergeCell ref="B29:C29"/>
    <mergeCell ref="B30:C30"/>
    <mergeCell ref="C23:D23"/>
    <mergeCell ref="F23:G23"/>
    <mergeCell ref="C18:D18"/>
    <mergeCell ref="F18:G18"/>
    <mergeCell ref="C19:D19"/>
    <mergeCell ref="F19:G19"/>
    <mergeCell ref="C20:D20"/>
    <mergeCell ref="C21:D21"/>
    <mergeCell ref="F21:G21"/>
    <mergeCell ref="C22:D22"/>
    <mergeCell ref="F22:G22"/>
    <mergeCell ref="D8:F8"/>
    <mergeCell ref="B17:G17"/>
    <mergeCell ref="C16:D16"/>
    <mergeCell ref="C2:F2"/>
    <mergeCell ref="C3:F3"/>
    <mergeCell ref="C4:F4"/>
    <mergeCell ref="C5:F5"/>
    <mergeCell ref="C6:F6"/>
    <mergeCell ref="C14:D14"/>
    <mergeCell ref="G14:G16"/>
    <mergeCell ref="C15:D15"/>
    <mergeCell ref="D9:F9"/>
    <mergeCell ref="B11:E11"/>
    <mergeCell ref="F11:G11"/>
    <mergeCell ref="B13:D13"/>
    <mergeCell ref="E13:F1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Mazen Elnahla</dc:creator>
  <cp:lastModifiedBy>Mazen Elnahla</cp:lastModifiedBy>
  <dcterms:created xsi:type="dcterms:W3CDTF">2026-09-25T21:36:53Z</dcterms:created>
  <dcterms:modified xsi:type="dcterms:W3CDTF">2026-09-25T22:46:38Z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2026-09-25T21:39:02Z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008d06cd-7c9e-4a46-b998-c46abd68de01</vt:lpwstr>
  </property>
  <property fmtid="{D5CDD505-2E9C-101B-9397-08002B2CF9AE}" pid="7" name="MSIP_Label_defa4170-0d19-0005-0004-bc88714345d2_ActionId">
    <vt:lpwstr>82271988-2570-4e6d-90fe-2bd89b5bcfcf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